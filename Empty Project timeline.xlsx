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 Schedule" sheetId="1" r:id="rId4"/>
  </sheets>
  <definedNames/>
  <calcPr/>
</workbook>
</file>

<file path=xl/sharedStrings.xml><?xml version="1.0" encoding="utf-8"?>
<sst xmlns="http://schemas.openxmlformats.org/spreadsheetml/2006/main" count="58" uniqueCount="36">
  <si>
    <t>Name</t>
  </si>
  <si>
    <t>Start</t>
  </si>
  <si>
    <t>End</t>
  </si>
  <si>
    <t>Status</t>
  </si>
  <si>
    <t>Today</t>
  </si>
  <si>
    <t>Days Since Start</t>
  </si>
  <si>
    <t>Days Till Task End</t>
  </si>
  <si>
    <t>Planned Status</t>
  </si>
  <si>
    <t>Current?</t>
  </si>
  <si>
    <t>Current Task</t>
  </si>
  <si>
    <t>Name 1</t>
  </si>
  <si>
    <t>Finished</t>
  </si>
  <si>
    <t>Name 2</t>
  </si>
  <si>
    <t>Name 3</t>
  </si>
  <si>
    <t>Name 4</t>
  </si>
  <si>
    <t>Name 5</t>
  </si>
  <si>
    <t>Name 6</t>
  </si>
  <si>
    <t>In Progress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</si>
  <si>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</si>
  <si>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</si>
  <si>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</si>
  <si>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</si>
  <si>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</si>
  <si>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</si>
  <si>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</si>
  <si>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</si>
  <si>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</si>
  <si>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</si>
  <si>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</si>
  <si>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</si>
  <si>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</si>
  <si>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Name 20</t>
  </si>
  <si>
    <t>Name 21</t>
  </si>
  <si>
    <t>Name 22</t>
  </si>
  <si>
    <t>Name 23</t>
  </si>
  <si>
    <t>Name 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</si>
</sst>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5">
    <font>
      <sz val="12.0"/>
      <color rgb="FF000000"/>
      <name val="Corbel"/>
    </font>
    <font>
      <b/>
      <name val="IBM Plex Mono"/>
    </font>
    <font>
      <b/>
      <sz val="12.0"/>
      <color rgb="FF000000"/>
      <name val="IBM Plex Mono"/>
    </font>
    <font>
      <name val="IBM Plex Mono"/>
    </font>
    <font>
      <sz val="12.0"/>
      <color rgb="FF000000"/>
      <name val="IBM Plex Mono"/>
    </font>
  </fonts>
  <fills count="4">
    <fill>
      <patternFill patternType="none"/>
    </fill>
    <fill>
      <patternFill patternType="lightGray"/>
    </fill>
    <fill>
      <patternFill patternType="solid">
        <fgColor rgb="FFEAF2F8"/>
        <bgColor rgb="FFEAF2F8"/>
      </patternFill>
    </fill>
    <fill>
      <patternFill patternType="solid">
        <fgColor rgb="FFF8FBFD"/>
        <bgColor rgb="FFF8FBFD"/>
      </patternFill>
    </fill>
  </fills>
  <borders count="2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 shrinkToFit="0" wrapText="0"/>
    </xf>
    <xf borderId="1" fillId="3" fontId="4" numFmtId="165" xfId="0" applyAlignment="1" applyBorder="1" applyFont="1" applyNumberFormat="1">
      <alignment horizontal="center" shrinkToFit="0" wrapText="0"/>
    </xf>
    <xf borderId="1" fillId="3" fontId="4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center" shrinkToFit="0" wrapText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shrinkToFit="0" wrapText="0"/>
    </xf>
    <xf borderId="1" fillId="0" fontId="4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1BACF"/>
          <bgColor rgb="FF91BAC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1">
    <tableStyle count="3" pivot="0" name="Text Schedu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5" displayName="Table_1" name="Table_1" id="1">
  <tableColumns count="10">
    <tableColumn name="Name" id="1"/>
    <tableColumn name="Start" id="2"/>
    <tableColumn name="End" id="3"/>
    <tableColumn name="Status" id="4"/>
    <tableColumn name="Today" id="5"/>
    <tableColumn name="Days Since Start" id="6"/>
    <tableColumn name="Days Till Task End" id="7"/>
    <tableColumn name="Planned Status" id="8"/>
    <tableColumn name="Current?" id="9"/>
    <tableColumn name="Current Task" id="10"/>
  </tableColumns>
  <tableStyleInfo name="Text Schedule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53.11"/>
    <col customWidth="1" min="4" max="4" width="21.11"/>
    <col customWidth="1" min="5" max="5" width="13.0"/>
    <col customWidth="1" min="6" max="6" width="19.44"/>
    <col customWidth="1" min="7" max="7" width="21.44"/>
    <col customWidth="1" min="8" max="8" width="16.67"/>
    <col customWidth="1" min="9" max="9" width="10.78"/>
    <col customWidth="1" min="10" max="10" width="34.67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</row>
    <row r="2">
      <c r="A2" s="5" t="s">
        <v>10</v>
      </c>
      <c r="B2" s="6">
        <v>46055.0</v>
      </c>
      <c r="C2" s="6">
        <v>46068.0</v>
      </c>
      <c r="D2" s="7" t="s">
        <v>11</v>
      </c>
      <c r="E2" s="8">
        <f>TODAY()</f>
        <v>46136</v>
      </c>
      <c r="F2" s="9" t="str">
        <f t="shared" ref="F2:F25" si="1">IF(AND($E$2&gt;=B2,$E$2&lt;=C2),$E$2-B2,"")</f>
        <v/>
      </c>
      <c r="G2" s="10" t="str">
        <f t="shared" ref="G2:G25" si="2">IF(AND($E$2&gt;=B2,$E$2&lt;=C2),C2-$E$2,"")</f>
        <v/>
      </c>
      <c r="H2" s="10" t="str">
        <f t="shared" ref="H2:H25" si="3">IF($E$2&lt;B2,"Not Started",IF($E$2&gt;C2,"Complete","In Progress"))</f>
        <v>Complete</v>
      </c>
      <c r="I2" s="9" t="str">
        <f t="shared" ref="I2:I25" si="4">IF(AND($E$2&gt;=B2,$E$2&lt;=C2),"Yes","")</f>
        <v/>
      </c>
      <c r="J2" s="11" t="str">
        <f>IFERROR(__xludf.DUMMYFUNCTION("TEXTJOIN("", "",TRUE,FILTER(A2:A25,E2&gt;=B2:B25,E2&lt;=C2:C25))"),"Name 11")</f>
        <v>Name 11</v>
      </c>
    </row>
    <row r="3">
      <c r="A3" s="5" t="s">
        <v>12</v>
      </c>
      <c r="B3" s="6">
        <v>46069.0</v>
      </c>
      <c r="C3" s="6">
        <v>46075.0</v>
      </c>
      <c r="D3" s="12" t="s">
        <v>11</v>
      </c>
      <c r="E3" s="13"/>
      <c r="F3" s="13" t="str">
        <f t="shared" si="1"/>
        <v/>
      </c>
      <c r="G3" s="13" t="str">
        <f t="shared" si="2"/>
        <v/>
      </c>
      <c r="H3" s="14" t="str">
        <f t="shared" si="3"/>
        <v>Complete</v>
      </c>
      <c r="I3" s="13" t="str">
        <f t="shared" si="4"/>
        <v/>
      </c>
      <c r="J3" s="11"/>
    </row>
    <row r="4">
      <c r="A4" s="5" t="s">
        <v>13</v>
      </c>
      <c r="B4" s="6">
        <v>46069.0</v>
      </c>
      <c r="C4" s="6">
        <v>46075.0</v>
      </c>
      <c r="D4" s="7" t="s">
        <v>11</v>
      </c>
      <c r="E4" s="9"/>
      <c r="F4" s="10" t="str">
        <f t="shared" si="1"/>
        <v/>
      </c>
      <c r="G4" s="9" t="str">
        <f t="shared" si="2"/>
        <v/>
      </c>
      <c r="H4" s="10" t="str">
        <f t="shared" si="3"/>
        <v>Complete</v>
      </c>
      <c r="I4" s="9" t="str">
        <f t="shared" si="4"/>
        <v/>
      </c>
      <c r="J4" s="11"/>
    </row>
    <row r="5">
      <c r="A5" s="5" t="s">
        <v>14</v>
      </c>
      <c r="B5" s="6">
        <v>46076.0</v>
      </c>
      <c r="C5" s="6">
        <v>46096.0</v>
      </c>
      <c r="D5" s="12" t="s">
        <v>11</v>
      </c>
      <c r="E5" s="13"/>
      <c r="F5" s="13" t="str">
        <f t="shared" si="1"/>
        <v/>
      </c>
      <c r="G5" s="13" t="str">
        <f t="shared" si="2"/>
        <v/>
      </c>
      <c r="H5" s="14" t="str">
        <f t="shared" si="3"/>
        <v>Complete</v>
      </c>
      <c r="I5" s="13" t="str">
        <f t="shared" si="4"/>
        <v/>
      </c>
      <c r="J5" s="11"/>
    </row>
    <row r="6">
      <c r="A6" s="5" t="s">
        <v>15</v>
      </c>
      <c r="B6" s="6">
        <v>46083.0</v>
      </c>
      <c r="C6" s="6">
        <v>46096.0</v>
      </c>
      <c r="D6" s="7" t="s">
        <v>11</v>
      </c>
      <c r="E6" s="9"/>
      <c r="F6" s="9" t="str">
        <f t="shared" si="1"/>
        <v/>
      </c>
      <c r="G6" s="9" t="str">
        <f t="shared" si="2"/>
        <v/>
      </c>
      <c r="H6" s="10" t="str">
        <f t="shared" si="3"/>
        <v>Complete</v>
      </c>
      <c r="I6" s="9" t="str">
        <f t="shared" si="4"/>
        <v/>
      </c>
      <c r="J6" s="11"/>
    </row>
    <row r="7">
      <c r="A7" s="5" t="s">
        <v>16</v>
      </c>
      <c r="B7" s="6">
        <v>46097.0</v>
      </c>
      <c r="C7" s="6">
        <v>46103.0</v>
      </c>
      <c r="D7" s="12" t="s">
        <v>17</v>
      </c>
      <c r="E7" s="13"/>
      <c r="F7" s="13" t="str">
        <f t="shared" si="1"/>
        <v/>
      </c>
      <c r="G7" s="13" t="str">
        <f t="shared" si="2"/>
        <v/>
      </c>
      <c r="H7" s="14" t="str">
        <f t="shared" si="3"/>
        <v>Complete</v>
      </c>
      <c r="I7" s="13" t="str">
        <f t="shared" si="4"/>
        <v/>
      </c>
      <c r="J7" s="11"/>
    </row>
    <row r="8">
      <c r="A8" s="5" t="s">
        <v>18</v>
      </c>
      <c r="B8" s="6">
        <v>46097.0</v>
      </c>
      <c r="C8" s="6">
        <v>46103.0</v>
      </c>
      <c r="D8" s="7" t="s">
        <v>17</v>
      </c>
      <c r="E8" s="9"/>
      <c r="F8" s="9" t="str">
        <f t="shared" si="1"/>
        <v/>
      </c>
      <c r="G8" s="9" t="str">
        <f t="shared" si="2"/>
        <v/>
      </c>
      <c r="H8" s="10" t="str">
        <f t="shared" si="3"/>
        <v>Complete</v>
      </c>
      <c r="I8" s="9" t="str">
        <f t="shared" si="4"/>
        <v/>
      </c>
      <c r="J8" s="11"/>
    </row>
    <row r="9">
      <c r="A9" s="5" t="s">
        <v>19</v>
      </c>
      <c r="B9" s="6">
        <v>46104.0</v>
      </c>
      <c r="C9" s="6">
        <v>46110.0</v>
      </c>
      <c r="D9" s="12" t="s">
        <v>17</v>
      </c>
      <c r="E9" s="13"/>
      <c r="F9" s="13" t="str">
        <f t="shared" si="1"/>
        <v/>
      </c>
      <c r="G9" s="13" t="str">
        <f t="shared" si="2"/>
        <v/>
      </c>
      <c r="H9" s="14" t="str">
        <f t="shared" si="3"/>
        <v>Complete</v>
      </c>
      <c r="I9" s="13" t="str">
        <f t="shared" si="4"/>
        <v/>
      </c>
      <c r="J9" s="11"/>
    </row>
    <row r="10">
      <c r="A10" s="5" t="s">
        <v>20</v>
      </c>
      <c r="B10" s="6">
        <v>46111.0</v>
      </c>
      <c r="C10" s="6">
        <v>46117.0</v>
      </c>
      <c r="D10" s="7" t="s">
        <v>17</v>
      </c>
      <c r="E10" s="9"/>
      <c r="F10" s="9" t="str">
        <f t="shared" si="1"/>
        <v/>
      </c>
      <c r="G10" s="9" t="str">
        <f t="shared" si="2"/>
        <v/>
      </c>
      <c r="H10" s="10" t="str">
        <f t="shared" si="3"/>
        <v>Complete</v>
      </c>
      <c r="I10" s="9" t="str">
        <f t="shared" si="4"/>
        <v/>
      </c>
      <c r="J10" s="11"/>
    </row>
    <row r="11">
      <c r="A11" s="5" t="s">
        <v>21</v>
      </c>
      <c r="B11" s="6">
        <v>46118.0</v>
      </c>
      <c r="C11" s="6">
        <v>46124.0</v>
      </c>
      <c r="D11" s="12" t="s">
        <v>17</v>
      </c>
      <c r="E11" s="13"/>
      <c r="F11" s="13" t="str">
        <f t="shared" si="1"/>
        <v/>
      </c>
      <c r="G11" s="13" t="str">
        <f t="shared" si="2"/>
        <v/>
      </c>
      <c r="H11" s="14" t="str">
        <f t="shared" si="3"/>
        <v>Complete</v>
      </c>
      <c r="I11" s="13" t="str">
        <f t="shared" si="4"/>
        <v/>
      </c>
      <c r="J11" s="11"/>
    </row>
    <row r="12">
      <c r="A12" s="5" t="s">
        <v>22</v>
      </c>
      <c r="B12" s="6">
        <v>46125.0</v>
      </c>
      <c r="C12" s="6">
        <v>46145.0</v>
      </c>
      <c r="D12" s="7" t="s">
        <v>17</v>
      </c>
      <c r="E12" s="9"/>
      <c r="F12" s="10">
        <f t="shared" si="1"/>
        <v>11</v>
      </c>
      <c r="G12" s="10">
        <f t="shared" si="2"/>
        <v>9</v>
      </c>
      <c r="H12" s="10" t="str">
        <f t="shared" si="3"/>
        <v>In Progress</v>
      </c>
      <c r="I12" s="10" t="str">
        <f t="shared" si="4"/>
        <v>Yes</v>
      </c>
      <c r="J12" s="11"/>
    </row>
    <row r="13">
      <c r="A13" s="5" t="s">
        <v>23</v>
      </c>
      <c r="B13" s="6">
        <v>46146.0</v>
      </c>
      <c r="C13" s="6">
        <v>46152.0</v>
      </c>
      <c r="D13" s="12" t="s">
        <v>17</v>
      </c>
      <c r="E13" s="13"/>
      <c r="F13" s="13" t="str">
        <f t="shared" si="1"/>
        <v/>
      </c>
      <c r="G13" s="13" t="str">
        <f t="shared" si="2"/>
        <v/>
      </c>
      <c r="H13" s="14" t="str">
        <f t="shared" si="3"/>
        <v>Not Started</v>
      </c>
      <c r="I13" s="13" t="str">
        <f t="shared" si="4"/>
        <v/>
      </c>
      <c r="J13" s="11"/>
    </row>
    <row r="14">
      <c r="A14" s="5" t="s">
        <v>24</v>
      </c>
      <c r="B14" s="6">
        <v>46146.0</v>
      </c>
      <c r="C14" s="6">
        <v>46159.0</v>
      </c>
      <c r="D14" s="7" t="s">
        <v>17</v>
      </c>
      <c r="E14" s="9"/>
      <c r="F14" s="9" t="str">
        <f t="shared" si="1"/>
        <v/>
      </c>
      <c r="G14" s="9" t="str">
        <f t="shared" si="2"/>
        <v/>
      </c>
      <c r="H14" s="10" t="str">
        <f t="shared" si="3"/>
        <v>Not Started</v>
      </c>
      <c r="I14" s="9" t="str">
        <f t="shared" si="4"/>
        <v/>
      </c>
      <c r="J14" s="11"/>
    </row>
    <row r="15">
      <c r="A15" s="5" t="s">
        <v>25</v>
      </c>
      <c r="B15" s="6">
        <v>46146.0</v>
      </c>
      <c r="C15" s="6">
        <v>46159.0</v>
      </c>
      <c r="D15" s="12" t="s">
        <v>17</v>
      </c>
      <c r="E15" s="13"/>
      <c r="F15" s="13" t="str">
        <f t="shared" si="1"/>
        <v/>
      </c>
      <c r="G15" s="13" t="str">
        <f t="shared" si="2"/>
        <v/>
      </c>
      <c r="H15" s="14" t="str">
        <f t="shared" si="3"/>
        <v>Not Started</v>
      </c>
      <c r="I15" s="13" t="str">
        <f t="shared" si="4"/>
        <v/>
      </c>
      <c r="J15" s="11"/>
    </row>
    <row r="16">
      <c r="A16" s="5" t="s">
        <v>26</v>
      </c>
      <c r="B16" s="6">
        <v>46160.0</v>
      </c>
      <c r="C16" s="6">
        <v>46166.0</v>
      </c>
      <c r="D16" s="7" t="s">
        <v>17</v>
      </c>
      <c r="E16" s="9"/>
      <c r="F16" s="9" t="str">
        <f t="shared" si="1"/>
        <v/>
      </c>
      <c r="G16" s="9" t="str">
        <f t="shared" si="2"/>
        <v/>
      </c>
      <c r="H16" s="10" t="str">
        <f t="shared" si="3"/>
        <v>Not Started</v>
      </c>
      <c r="I16" s="9" t="str">
        <f t="shared" si="4"/>
        <v/>
      </c>
      <c r="J16" s="11"/>
    </row>
    <row r="17">
      <c r="A17" s="5" t="s">
        <v>27</v>
      </c>
      <c r="B17" s="6">
        <v>46160.0</v>
      </c>
      <c r="C17" s="6">
        <v>46166.0</v>
      </c>
      <c r="D17" s="12" t="s">
        <v>17</v>
      </c>
      <c r="E17" s="13"/>
      <c r="F17" s="13" t="str">
        <f t="shared" si="1"/>
        <v/>
      </c>
      <c r="G17" s="13" t="str">
        <f t="shared" si="2"/>
        <v/>
      </c>
      <c r="H17" s="14" t="str">
        <f t="shared" si="3"/>
        <v>Not Started</v>
      </c>
      <c r="I17" s="13" t="str">
        <f t="shared" si="4"/>
        <v/>
      </c>
      <c r="J17" s="11"/>
    </row>
    <row r="18">
      <c r="A18" s="5" t="s">
        <v>28</v>
      </c>
      <c r="B18" s="6">
        <v>46167.0</v>
      </c>
      <c r="C18" s="6">
        <v>46187.0</v>
      </c>
      <c r="D18" s="7" t="s">
        <v>17</v>
      </c>
      <c r="E18" s="9"/>
      <c r="F18" s="9" t="str">
        <f t="shared" si="1"/>
        <v/>
      </c>
      <c r="G18" s="9" t="str">
        <f t="shared" si="2"/>
        <v/>
      </c>
      <c r="H18" s="10" t="str">
        <f t="shared" si="3"/>
        <v>Not Started</v>
      </c>
      <c r="I18" s="9" t="str">
        <f t="shared" si="4"/>
        <v/>
      </c>
      <c r="J18" s="11"/>
    </row>
    <row r="19">
      <c r="A19" s="5" t="s">
        <v>29</v>
      </c>
      <c r="B19" s="6">
        <v>46188.0</v>
      </c>
      <c r="C19" s="6">
        <v>46194.0</v>
      </c>
      <c r="D19" s="12" t="s">
        <v>17</v>
      </c>
      <c r="E19" s="13"/>
      <c r="F19" s="13" t="str">
        <f t="shared" si="1"/>
        <v/>
      </c>
      <c r="G19" s="13" t="str">
        <f t="shared" si="2"/>
        <v/>
      </c>
      <c r="H19" s="14" t="str">
        <f t="shared" si="3"/>
        <v>Not Started</v>
      </c>
      <c r="I19" s="13" t="str">
        <f t="shared" si="4"/>
        <v/>
      </c>
      <c r="J19" s="11"/>
    </row>
    <row r="20">
      <c r="A20" s="5" t="s">
        <v>30</v>
      </c>
      <c r="B20" s="6">
        <v>46188.0</v>
      </c>
      <c r="C20" s="6">
        <v>46208.0</v>
      </c>
      <c r="D20" s="7" t="s">
        <v>17</v>
      </c>
      <c r="E20" s="9"/>
      <c r="F20" s="9" t="str">
        <f t="shared" si="1"/>
        <v/>
      </c>
      <c r="G20" s="9" t="str">
        <f t="shared" si="2"/>
        <v/>
      </c>
      <c r="H20" s="10" t="str">
        <f t="shared" si="3"/>
        <v>Not Started</v>
      </c>
      <c r="I20" s="9" t="str">
        <f t="shared" si="4"/>
        <v/>
      </c>
      <c r="J20" s="11"/>
    </row>
    <row r="21">
      <c r="A21" s="5" t="s">
        <v>31</v>
      </c>
      <c r="B21" s="6">
        <v>46209.0</v>
      </c>
      <c r="C21" s="6">
        <v>46222.0</v>
      </c>
      <c r="D21" s="12" t="s">
        <v>17</v>
      </c>
      <c r="E21" s="13"/>
      <c r="F21" s="13" t="str">
        <f t="shared" si="1"/>
        <v/>
      </c>
      <c r="G21" s="13" t="str">
        <f t="shared" si="2"/>
        <v/>
      </c>
      <c r="H21" s="14" t="str">
        <f t="shared" si="3"/>
        <v>Not Started</v>
      </c>
      <c r="I21" s="13" t="str">
        <f t="shared" si="4"/>
        <v/>
      </c>
      <c r="J21" s="11"/>
    </row>
    <row r="22">
      <c r="A22" s="5" t="s">
        <v>32</v>
      </c>
      <c r="B22" s="6">
        <v>46209.0</v>
      </c>
      <c r="C22" s="6">
        <v>46222.0</v>
      </c>
      <c r="D22" s="7" t="s">
        <v>17</v>
      </c>
      <c r="E22" s="9"/>
      <c r="F22" s="9" t="str">
        <f t="shared" si="1"/>
        <v/>
      </c>
      <c r="G22" s="9" t="str">
        <f t="shared" si="2"/>
        <v/>
      </c>
      <c r="H22" s="10" t="str">
        <f t="shared" si="3"/>
        <v>Not Started</v>
      </c>
      <c r="I22" s="9" t="str">
        <f t="shared" si="4"/>
        <v/>
      </c>
      <c r="J22" s="11"/>
    </row>
    <row r="23">
      <c r="A23" s="5" t="s">
        <v>33</v>
      </c>
      <c r="B23" s="6">
        <v>46209.0</v>
      </c>
      <c r="C23" s="6">
        <v>46222.0</v>
      </c>
      <c r="D23" s="12" t="s">
        <v>17</v>
      </c>
      <c r="E23" s="13"/>
      <c r="F23" s="13" t="str">
        <f t="shared" si="1"/>
        <v/>
      </c>
      <c r="G23" s="13" t="str">
        <f t="shared" si="2"/>
        <v/>
      </c>
      <c r="H23" s="14" t="str">
        <f t="shared" si="3"/>
        <v>Not Started</v>
      </c>
      <c r="I23" s="13" t="str">
        <f t="shared" si="4"/>
        <v/>
      </c>
      <c r="J23" s="11"/>
    </row>
    <row r="24">
      <c r="A24" s="5" t="s">
        <v>34</v>
      </c>
      <c r="B24" s="6">
        <v>46209.0</v>
      </c>
      <c r="C24" s="6">
        <v>46222.0</v>
      </c>
      <c r="D24" s="7" t="s">
        <v>17</v>
      </c>
      <c r="E24" s="9"/>
      <c r="F24" s="9" t="str">
        <f t="shared" si="1"/>
        <v/>
      </c>
      <c r="G24" s="9" t="str">
        <f t="shared" si="2"/>
        <v/>
      </c>
      <c r="H24" s="10" t="str">
        <f t="shared" si="3"/>
        <v>Not Started</v>
      </c>
      <c r="I24" s="9" t="str">
        <f t="shared" si="4"/>
        <v/>
      </c>
      <c r="J24" s="11"/>
    </row>
    <row r="25">
      <c r="A25" s="5" t="s">
        <v>35</v>
      </c>
      <c r="B25" s="6">
        <v>46188.0</v>
      </c>
      <c r="C25" s="6">
        <v>46229.0</v>
      </c>
      <c r="D25" s="12" t="s">
        <v>17</v>
      </c>
      <c r="E25" s="13"/>
      <c r="F25" s="13" t="str">
        <f t="shared" si="1"/>
        <v/>
      </c>
      <c r="G25" s="13" t="str">
        <f t="shared" si="2"/>
        <v/>
      </c>
      <c r="H25" s="14" t="str">
        <f t="shared" si="3"/>
        <v>Not Started</v>
      </c>
      <c r="I25" s="13" t="str">
        <f t="shared" si="4"/>
        <v/>
      </c>
      <c r="J25" s="11"/>
    </row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</sheetData>
  <dataValidations>
    <dataValidation type="list" allowBlank="1" showErrorMessage="1" sqref="D2:D25">
      <formula1>"Finished,In Progress"</formula1>
    </dataValidation>
  </dataValidations>
  <drawing r:id="rId1"/>
  <tableParts count="1">
    <tablePart r:id="rId3"/>
  </tableParts>
</worksheet>
</file>